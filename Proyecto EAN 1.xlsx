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Desktop\"/>
    </mc:Choice>
  </mc:AlternateContent>
  <xr:revisionPtr revIDLastSave="0" documentId="13_ncr:1_{EC968BE5-9F85-49AC-AF6F-08B566DD1CF6}" xr6:coauthVersionLast="47" xr6:coauthVersionMax="47" xr10:uidLastSave="{00000000-0000-0000-0000-000000000000}"/>
  <bookViews>
    <workbookView xWindow="-108" yWindow="-108" windowWidth="23256" windowHeight="13176" activeTab="3" xr2:uid="{C0318D02-55FD-4927-83CF-CB0EC00FA236}"/>
  </bookViews>
  <sheets>
    <sheet name="Presupuesto" sheetId="1" r:id="rId1"/>
    <sheet name="Gastos" sheetId="2" r:id="rId2"/>
    <sheet name="Documentación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4" l="1"/>
  <c r="B10" i="4"/>
  <c r="D14" i="1"/>
  <c r="E14" i="1"/>
  <c r="E5" i="1"/>
  <c r="E6" i="1"/>
  <c r="E7" i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<sst xmlns="http://schemas.openxmlformats.org/spreadsheetml/2006/main" count="94" uniqueCount="59">
  <si>
    <t>Tipo</t>
  </si>
  <si>
    <t>Categoría de presupuesto</t>
  </si>
  <si>
    <t xml:space="preserve">Presupuesto Estimado </t>
  </si>
  <si>
    <t>Ingreso</t>
  </si>
  <si>
    <t>Gasto Fijo</t>
  </si>
  <si>
    <t>Gasto variable</t>
  </si>
  <si>
    <t xml:space="preserve">Ahorro </t>
  </si>
  <si>
    <t>Ingreso Mensual</t>
  </si>
  <si>
    <t>Celular y plan</t>
  </si>
  <si>
    <t>Transporte</t>
  </si>
  <si>
    <t>Mercado</t>
  </si>
  <si>
    <t>Restaurantes y Domicilios</t>
  </si>
  <si>
    <t xml:space="preserve">Cafeteria snacks </t>
  </si>
  <si>
    <t>Cuidado personal</t>
  </si>
  <si>
    <t xml:space="preserve">Entretenimiento </t>
  </si>
  <si>
    <t xml:space="preserve">Fondo emergencia </t>
  </si>
  <si>
    <t>Fecha</t>
  </si>
  <si>
    <t xml:space="preserve">Categoria de Presupuesto </t>
  </si>
  <si>
    <t xml:space="preserve">Descripción </t>
  </si>
  <si>
    <t xml:space="preserve">Frecuencia </t>
  </si>
  <si>
    <t>Valor del gasto</t>
  </si>
  <si>
    <t>Servicios públicos</t>
  </si>
  <si>
    <t>Carnes fruver</t>
  </si>
  <si>
    <t xml:space="preserve">Uber </t>
  </si>
  <si>
    <t>Tostao</t>
  </si>
  <si>
    <t>Barbería</t>
  </si>
  <si>
    <t>Steam</t>
  </si>
  <si>
    <t>Rappi</t>
  </si>
  <si>
    <t>Oxxo</t>
  </si>
  <si>
    <t xml:space="preserve">Alcanos </t>
  </si>
  <si>
    <t xml:space="preserve">Claro movil </t>
  </si>
  <si>
    <t>KFC - Almuerzo</t>
  </si>
  <si>
    <t>Semanal</t>
  </si>
  <si>
    <t>Diario</t>
  </si>
  <si>
    <t>Mensual</t>
  </si>
  <si>
    <t>Gasto Real</t>
  </si>
  <si>
    <t>Totales</t>
  </si>
  <si>
    <t>Tema elegido</t>
  </si>
  <si>
    <t>Pregunta clave</t>
  </si>
  <si>
    <t>Fuente de datos</t>
  </si>
  <si>
    <t>Control y gestión de presupuesto de gastos personales</t>
  </si>
  <si>
    <t>¿Cuáles son las categorías en las que se concentra la mayor ejecución del gasto real y cómo se relacionan con el presupuesto estimado?</t>
  </si>
  <si>
    <t>Registro transaccional interno de gastos diarios (incluyendo servicios públicos, alimentación, transporte, entretenimiento y planes móviles)</t>
  </si>
  <si>
    <t>Herramientas de IA y funciones utilizadas:</t>
  </si>
  <si>
    <t>Análisis automatizado de tendencias y distribución de presupuestos mediante herramientas analíticas integradas.</t>
  </si>
  <si>
    <t>Conclusiones del análisis:</t>
  </si>
  <si>
    <t>El análisis permitió identificar que las categorías de Mercado y Servicios Públicos representan la mayor proporción de los egresos mensuales.</t>
  </si>
  <si>
    <t>La automatización mediante fórmulas de resumen facilita el control financiero en tiempo real, permitiendo detectar desviaciones entre lo estimado y lo gastado de forma inmediata.</t>
  </si>
  <si>
    <r>
      <t>Uso de funciones lógicas y de suma condicional (</t>
    </r>
    <r>
      <rPr>
        <sz val="10"/>
        <rFont val="Arial Unicode MS"/>
      </rPr>
      <t>=SUMIF</t>
    </r>
    <r>
      <rPr>
        <sz val="11"/>
        <rFont val="Aptos Narrow"/>
        <family val="2"/>
        <scheme val="minor"/>
      </rPr>
      <t xml:space="preserve"> / </t>
    </r>
    <r>
      <rPr>
        <sz val="10"/>
        <rFont val="Arial Unicode MS"/>
      </rPr>
      <t>=SUMAR.SI</t>
    </r>
    <r>
      <rPr>
        <sz val="11"/>
        <rFont val="Aptos Narrow"/>
        <family val="2"/>
        <scheme val="minor"/>
      </rPr>
      <t>) para la consolidación automática de los datos.</t>
    </r>
  </si>
  <si>
    <t>Categoría</t>
  </si>
  <si>
    <t>Presupuesto Estimado</t>
  </si>
  <si>
    <t>Diferencia / Estado</t>
  </si>
  <si>
    <t>Al día</t>
  </si>
  <si>
    <t>A favor</t>
  </si>
  <si>
    <t>Controlado</t>
  </si>
  <si>
    <t>Cafetería y snacks</t>
  </si>
  <si>
    <t>Entretenimiento</t>
  </si>
  <si>
    <t>Total General</t>
  </si>
  <si>
    <t>Óptimo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</si>
</sst>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 Unicode MS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16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 readingOrder="1"/>
    </xf>
    <xf numFmtId="3" fontId="6" fillId="0" borderId="1" xfId="0" applyNumberFormat="1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3" fontId="7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Comparativo: Presupuesto vs. Ejecución Real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Presupuesto!$D$3</c:f>
              <c:strCache>
                <c:ptCount val="1"/>
                <c:pt idx="0">
                  <c:v>Presupuesto Estimado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Presupuesto!$C$4:$C$13</c:f>
              <c:strCache>
                <c:ptCount val="10"/>
                <c:pt idx="0">
                  <c:v>Ingreso Mensual</c:v>
                </c:pt>
                <c:pt idx="1">
                  <c:v>Servicios públicos</c:v>
                </c:pt>
                <c:pt idx="2">
                  <c:v>Celular y plan</c:v>
                </c:pt>
                <c:pt idx="3">
                  <c:v>Transporte</c:v>
                </c:pt>
                <c:pt idx="4">
                  <c:v>Mercado</c:v>
                </c:pt>
                <c:pt idx="5">
                  <c:v>Restaurantes y Domicilios</c:v>
                </c:pt>
                <c:pt idx="6">
                  <c:v>Cafeteria snacks </c:v>
                </c:pt>
                <c:pt idx="7">
                  <c:v>Cuidado personal</c:v>
                </c:pt>
                <c:pt idx="8">
                  <c:v>Entretenimiento </c:v>
                </c:pt>
                <c:pt idx="9">
                  <c:v>Fondo emergencia </c:v>
                </c:pt>
              </c:strCache>
            </c:strRef>
          </c:cat>
          <c:val>
            <c:numRef>
              <c:f>Presupuesto!$D$4:$D$13</c:f>
              <c:numCache>
                <c:formatCode>_-"$"* #,##0_-;\-"$"* #,##0_-;_-"$"* "-"??_-;_-@_-</c:formatCode>
                <c:ptCount val="10"/>
                <c:pt idx="0">
                  <c:v>1500000</c:v>
                </c:pt>
                <c:pt idx="1">
                  <c:v>85000</c:v>
                </c:pt>
                <c:pt idx="2">
                  <c:v>45000</c:v>
                </c:pt>
                <c:pt idx="3">
                  <c:v>150000</c:v>
                </c:pt>
                <c:pt idx="4">
                  <c:v>400000</c:v>
                </c:pt>
                <c:pt idx="5">
                  <c:v>200000</c:v>
                </c:pt>
                <c:pt idx="6">
                  <c:v>80000</c:v>
                </c:pt>
                <c:pt idx="7">
                  <c:v>100000</c:v>
                </c:pt>
                <c:pt idx="8">
                  <c:v>100000</c:v>
                </c:pt>
                <c:pt idx="9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2-4709-BC10-5A806C296271}"/>
            </c:ext>
          </c:extLst>
        </c:ser>
        <c:ser>
          <c:idx val="1"/>
          <c:order val="1"/>
          <c:tx>
            <c:strRef>
              <c:f>Presupuesto!$E$3</c:f>
              <c:strCache>
                <c:ptCount val="1"/>
                <c:pt idx="0">
                  <c:v>Gasto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Presupuesto!$C$4:$C$13</c:f>
              <c:strCache>
                <c:ptCount val="10"/>
                <c:pt idx="0">
                  <c:v>Ingreso Mensual</c:v>
                </c:pt>
                <c:pt idx="1">
                  <c:v>Servicios públicos</c:v>
                </c:pt>
                <c:pt idx="2">
                  <c:v>Celular y plan</c:v>
                </c:pt>
                <c:pt idx="3">
                  <c:v>Transporte</c:v>
                </c:pt>
                <c:pt idx="4">
                  <c:v>Mercado</c:v>
                </c:pt>
                <c:pt idx="5">
                  <c:v>Restaurantes y Domicilios</c:v>
                </c:pt>
                <c:pt idx="6">
                  <c:v>Cafeteria snacks </c:v>
                </c:pt>
                <c:pt idx="7">
                  <c:v>Cuidado personal</c:v>
                </c:pt>
                <c:pt idx="8">
                  <c:v>Entretenimiento </c:v>
                </c:pt>
                <c:pt idx="9">
                  <c:v>Fondo emergencia </c:v>
                </c:pt>
              </c:strCache>
            </c:strRef>
          </c:cat>
          <c:val>
            <c:numRef>
              <c:f>Presupuesto!$E$4:$E$13</c:f>
              <c:numCache>
                <c:formatCode>_-"$"* #,##0_-;\-"$"* #,##0_-;_-"$"* "-"??_-;_-@_-</c:formatCode>
                <c:ptCount val="10"/>
                <c:pt idx="0">
                  <c:v>0</c:v>
                </c:pt>
                <c:pt idx="1">
                  <c:v>85000</c:v>
                </c:pt>
                <c:pt idx="2">
                  <c:v>45000</c:v>
                </c:pt>
                <c:pt idx="3">
                  <c:v>18500</c:v>
                </c:pt>
                <c:pt idx="4">
                  <c:v>190000</c:v>
                </c:pt>
                <c:pt idx="5">
                  <c:v>74000</c:v>
                </c:pt>
                <c:pt idx="6">
                  <c:v>12000</c:v>
                </c:pt>
                <c:pt idx="7">
                  <c:v>35000</c:v>
                </c:pt>
                <c:pt idx="8">
                  <c:v>45000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B2-4709-BC10-5A806C296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8184992"/>
        <c:axId val="1982395024"/>
      </c:barChart>
      <c:catAx>
        <c:axId val="209818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2395024"/>
        <c:crosses val="autoZero"/>
        <c:auto val="1"/>
        <c:lblAlgn val="ctr"/>
        <c:lblOffset val="100"/>
        <c:noMultiLvlLbl val="0"/>
      </c:catAx>
      <c:valAx>
        <c:axId val="198239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818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</c:f>
              <c:strCache>
                <c:ptCount val="1"/>
                <c:pt idx="0">
                  <c:v>Gasto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Dashboard!$A$2:$A$9</c:f>
              <c:strCache>
                <c:ptCount val="8"/>
                <c:pt idx="0">
                  <c:v>Servicios públicos</c:v>
                </c:pt>
                <c:pt idx="1">
                  <c:v>Celular y plan</c:v>
                </c:pt>
                <c:pt idx="2">
                  <c:v>Transporte</c:v>
                </c:pt>
                <c:pt idx="3">
                  <c:v>Mercado</c:v>
                </c:pt>
                <c:pt idx="4">
                  <c:v>Restaurantes y Domicilios</c:v>
                </c:pt>
                <c:pt idx="5">
                  <c:v>Cafetería y snacks</c:v>
                </c:pt>
                <c:pt idx="6">
                  <c:v>Cuidado personal</c:v>
                </c:pt>
                <c:pt idx="7">
                  <c:v>Entretenimiento</c:v>
                </c:pt>
              </c:strCache>
            </c:strRef>
          </c:cat>
          <c:val>
            <c:numRef>
              <c:f>Dashboard!$C$2:$C$9</c:f>
              <c:numCache>
                <c:formatCode>#,##0</c:formatCode>
                <c:ptCount val="8"/>
                <c:pt idx="0">
                  <c:v>85000</c:v>
                </c:pt>
                <c:pt idx="1">
                  <c:v>45000</c:v>
                </c:pt>
                <c:pt idx="2">
                  <c:v>18500</c:v>
                </c:pt>
                <c:pt idx="3">
                  <c:v>190000</c:v>
                </c:pt>
                <c:pt idx="4">
                  <c:v>74000</c:v>
                </c:pt>
                <c:pt idx="5">
                  <c:v>12000</c:v>
                </c:pt>
                <c:pt idx="6">
                  <c:v>35000</c:v>
                </c:pt>
                <c:pt idx="7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9-4E74-94ED-30F963095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6096111"/>
        <c:axId val="308336303"/>
      </c:barChart>
      <c:catAx>
        <c:axId val="32609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8336303"/>
        <c:crosses val="autoZero"/>
        <c:auto val="1"/>
        <c:lblAlgn val="ctr"/>
        <c:lblOffset val="100"/>
        <c:noMultiLvlLbl val="0"/>
      </c:catAx>
      <c:valAx>
        <c:axId val="30833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609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Presupuesto Estimado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Dashboard!$A$2:$A$9</c:f>
              <c:strCache>
                <c:ptCount val="8"/>
                <c:pt idx="0">
                  <c:v>Servicios públicos</c:v>
                </c:pt>
                <c:pt idx="1">
                  <c:v>Celular y plan</c:v>
                </c:pt>
                <c:pt idx="2">
                  <c:v>Transporte</c:v>
                </c:pt>
                <c:pt idx="3">
                  <c:v>Mercado</c:v>
                </c:pt>
                <c:pt idx="4">
                  <c:v>Restaurantes y Domicilios</c:v>
                </c:pt>
                <c:pt idx="5">
                  <c:v>Cafetería y snacks</c:v>
                </c:pt>
                <c:pt idx="6">
                  <c:v>Cuidado personal</c:v>
                </c:pt>
                <c:pt idx="7">
                  <c:v>Entretenimiento</c:v>
                </c:pt>
              </c:strCache>
            </c:strRef>
          </c:cat>
          <c:val>
            <c:numRef>
              <c:f>Dashboard!$B$2:$B$9</c:f>
              <c:numCache>
                <c:formatCode>#,##0</c:formatCode>
                <c:ptCount val="8"/>
                <c:pt idx="0">
                  <c:v>85000</c:v>
                </c:pt>
                <c:pt idx="1">
                  <c:v>45000</c:v>
                </c:pt>
                <c:pt idx="2">
                  <c:v>150000</c:v>
                </c:pt>
                <c:pt idx="3">
                  <c:v>400000</c:v>
                </c:pt>
                <c:pt idx="4">
                  <c:v>200000</c:v>
                </c:pt>
                <c:pt idx="5">
                  <c:v>80000</c:v>
                </c:pt>
                <c:pt idx="6">
                  <c:v>100000</c:v>
                </c:pt>
                <c:pt idx="7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1-485B-9694-C071463C9B11}"/>
            </c:ext>
          </c:extLst>
        </c:ser>
        <c:ser>
          <c:idx val="1"/>
          <c:order val="1"/>
          <c:tx>
            <c:v>Gasto Real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Dashboard!$A$2:$A$9</c:f>
              <c:strCache>
                <c:ptCount val="8"/>
                <c:pt idx="0">
                  <c:v>Servicios públicos</c:v>
                </c:pt>
                <c:pt idx="1">
                  <c:v>Celular y plan</c:v>
                </c:pt>
                <c:pt idx="2">
                  <c:v>Transporte</c:v>
                </c:pt>
                <c:pt idx="3">
                  <c:v>Mercado</c:v>
                </c:pt>
                <c:pt idx="4">
                  <c:v>Restaurantes y Domicilios</c:v>
                </c:pt>
                <c:pt idx="5">
                  <c:v>Cafetería y snacks</c:v>
                </c:pt>
                <c:pt idx="6">
                  <c:v>Cuidado personal</c:v>
                </c:pt>
                <c:pt idx="7">
                  <c:v>Entretenimiento</c:v>
                </c:pt>
              </c:strCache>
            </c:strRef>
          </c:cat>
          <c:val>
            <c:numRef>
              <c:f>Dashboard!$C$2:$C$9</c:f>
              <c:numCache>
                <c:formatCode>#,##0</c:formatCode>
                <c:ptCount val="8"/>
                <c:pt idx="0">
                  <c:v>85000</c:v>
                </c:pt>
                <c:pt idx="1">
                  <c:v>45000</c:v>
                </c:pt>
                <c:pt idx="2">
                  <c:v>18500</c:v>
                </c:pt>
                <c:pt idx="3">
                  <c:v>190000</c:v>
                </c:pt>
                <c:pt idx="4">
                  <c:v>74000</c:v>
                </c:pt>
                <c:pt idx="5">
                  <c:v>12000</c:v>
                </c:pt>
                <c:pt idx="6">
                  <c:v>35000</c:v>
                </c:pt>
                <c:pt idx="7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61-485B-9694-C071463C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9403375"/>
        <c:axId val="1043736399"/>
      </c:barChart>
      <c:catAx>
        <c:axId val="90940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3736399"/>
        <c:crosses val="autoZero"/>
        <c:auto val="1"/>
        <c:lblAlgn val="ctr"/>
        <c:lblOffset val="100"/>
        <c:noMultiLvlLbl val="0"/>
      </c:catAx>
      <c:valAx>
        <c:axId val="104373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940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646854</xdr:colOff>
      <xdr:row>1</xdr:row>
      <xdr:rowOff>169756</xdr:rowOff>
    </xdr:from>
    <xdr:to>
      <xdr:col>11</xdr:col>
      <xdr:colOff>447887</xdr:colOff>
      <xdr:row>16</xdr:row>
      <xdr:rowOff>169756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FF5339-448E-F91D-CDF0-F68149BE7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1</xdr:row>
      <xdr:rowOff>125730</xdr:rowOff>
    </xdr:from>
    <xdr:to>
      <xdr:col>9</xdr:col>
      <xdr:colOff>769620</xdr:colOff>
      <xdr:row>8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B0DB8B-0528-2233-BA86-AFD52E9F6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1059180</xdr:colOff>
      <xdr:row>11</xdr:row>
      <xdr:rowOff>26670</xdr:rowOff>
    </xdr:from>
    <xdr:to>
      <xdr:col>7</xdr:col>
      <xdr:colOff>144780</xdr:colOff>
      <xdr:row>26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9A7059-DCC0-350E-2F36-D86734536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3D85-9A64-4D4E-BD96-2FB9376B0F21}">
  <dimension ref="B3:E14"/>
  <sheetViews>
    <sheetView zoomScaleNormal="100" workbookViewId="0">
      <selection activeCell="H25" sqref="H25"/>
    </sheetView>
  </sheetViews>
  <sheetFormatPr baseColWidth="10" defaultRowHeight="14.4"/>
  <cols>
    <col min="2" max="2" width="12.44140625" bestFit="1" customWidth="1"/>
    <col min="3" max="3" width="22.33203125" bestFit="1" customWidth="1"/>
    <col min="4" max="4" width="20" bestFit="1" customWidth="1"/>
    <col min="5" max="5" width="12.44140625" bestFit="1" customWidth="1"/>
  </cols>
  <sheetData>
    <row r="3" spans="2:5">
      <c r="B3" s="1" t="s">
        <v>0</v>
      </c>
      <c r="C3" s="1" t="s">
        <v>1</v>
      </c>
      <c r="D3" s="1" t="s">
        <v>2</v>
      </c>
      <c r="E3" s="1" t="s">
        <v>35</v>
      </c>
    </row>
    <row r="4" spans="2:5">
      <c r="B4" s="2" t="s">
        <v>3</v>
      </c>
      <c r="C4" s="2" t="s">
        <v>7</v>
      </c>
      <c r="D4" s="3">
        <v>1500000</v>
      </c>
      <c r="E4" s="3">
        <f>SUMIF(Gastos!C:C, C4, Gastos!F:F)</f>
        <v>0</v>
      </c>
    </row>
    <row r="5" spans="2:5">
      <c r="B5" s="2" t="s">
        <v>4</v>
      </c>
      <c r="C5" s="2" t="s">
        <v>21</v>
      </c>
      <c r="D5" s="3">
        <v>85000</v>
      </c>
      <c r="E5" s="3">
        <f>SUMIF(Gastos!C:C, C5, Gastos!F:F)</f>
        <v>85000</v>
      </c>
    </row>
    <row r="6" spans="2:5">
      <c r="B6" s="2" t="s">
        <v>4</v>
      </c>
      <c r="C6" s="2" t="s">
        <v>8</v>
      </c>
      <c r="D6" s="3">
        <v>45000</v>
      </c>
      <c r="E6" s="3">
        <f>SUMIF(Gastos!C:C, C6, Gastos!F:F)</f>
        <v>45000</v>
      </c>
    </row>
    <row r="7" spans="2:5">
      <c r="B7" s="2" t="s">
        <v>4</v>
      </c>
      <c r="C7" s="2" t="s">
        <v>9</v>
      </c>
      <c r="D7" s="3">
        <v>150000</v>
      </c>
      <c r="E7" s="3">
        <f>SUMIF(Gastos!C:C, C7, Gastos!F:F)</f>
        <v>18500</v>
      </c>
    </row>
    <row r="8" spans="2:5">
      <c r="B8" s="2" t="s">
        <v>4</v>
      </c>
      <c r="C8" s="2" t="s">
        <v>10</v>
      </c>
      <c r="D8" s="3">
        <v>400000</v>
      </c>
      <c r="E8" s="3">
        <f>SUMIF(Gastos!C:C, C8, Gastos!F:F)</f>
        <v>190000</v>
      </c>
    </row>
    <row r="9" spans="2:5">
      <c r="B9" s="2" t="s">
        <v>5</v>
      </c>
      <c r="C9" s="2" t="s">
        <v>11</v>
      </c>
      <c r="D9" s="3">
        <v>200000</v>
      </c>
      <c r="E9" s="3">
        <f>SUMIF(Gastos!C:C, C9, Gastos!F:F)</f>
        <v>74000</v>
      </c>
    </row>
    <row r="10" spans="2:5">
      <c r="B10" s="2" t="s">
        <v>5</v>
      </c>
      <c r="C10" s="2" t="s">
        <v>12</v>
      </c>
      <c r="D10" s="3">
        <v>80000</v>
      </c>
      <c r="E10" s="3">
        <f>SUMIF(Gastos!C:C, C10, Gastos!F:F)</f>
        <v>12000</v>
      </c>
    </row>
    <row r="11" spans="2:5">
      <c r="B11" s="2" t="s">
        <v>5</v>
      </c>
      <c r="C11" s="2" t="s">
        <v>13</v>
      </c>
      <c r="D11" s="3">
        <v>100000</v>
      </c>
      <c r="E11" s="3">
        <f>SUMIF(Gastos!C:C, C11, Gastos!F:F)</f>
        <v>35000</v>
      </c>
    </row>
    <row r="12" spans="2:5">
      <c r="B12" s="2" t="s">
        <v>5</v>
      </c>
      <c r="C12" s="2" t="s">
        <v>14</v>
      </c>
      <c r="D12" s="3">
        <v>100000</v>
      </c>
      <c r="E12" s="3">
        <f>SUMIF(Gastos!C:C, C12, Gastos!F:F)</f>
        <v>45000</v>
      </c>
    </row>
    <row r="13" spans="2:5">
      <c r="B13" s="2" t="s">
        <v>6</v>
      </c>
      <c r="C13" s="2" t="s">
        <v>15</v>
      </c>
      <c r="D13" s="3">
        <v>150000</v>
      </c>
      <c r="E13" s="3">
        <f>SUMIF(Gastos!C:C, C13, Gastos!F:F)</f>
        <v>0</v>
      </c>
    </row>
    <row r="14" spans="2:5">
      <c r="C14" s="2" t="s">
        <v>36</v>
      </c>
      <c r="D14" s="5">
        <f>SUM(D4:D13)</f>
        <v>2810000</v>
      </c>
      <c r="E14" s="5">
        <f>SUM(E4:E13)</f>
        <v>504500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A51B-5A43-41D5-AED5-249767F14616}">
  <dimension ref="B3:F13"/>
  <sheetViews>
    <sheetView workbookViewId="0">
      <selection activeCell="C5" sqref="C5"/>
    </sheetView>
  </sheetViews>
  <sheetFormatPr baseColWidth="10" defaultRowHeight="14.4"/>
  <cols>
    <col min="3" max="3" width="22.109375" bestFit="1" customWidth="1"/>
    <col min="4" max="4" width="13.109375" bestFit="1" customWidth="1"/>
    <col min="6" max="6" width="12.6640625" bestFit="1" customWidth="1"/>
  </cols>
  <sheetData>
    <row r="3" spans="2:6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</row>
    <row r="4" spans="2:6">
      <c r="B4" s="4">
        <v>46296</v>
      </c>
      <c r="C4" s="2" t="s">
        <v>10</v>
      </c>
      <c r="D4" s="2" t="s">
        <v>22</v>
      </c>
      <c r="E4" s="2" t="s">
        <v>32</v>
      </c>
      <c r="F4" s="3">
        <v>125000</v>
      </c>
    </row>
    <row r="5" spans="2:6">
      <c r="B5" s="4">
        <v>46296</v>
      </c>
      <c r="C5" s="2" t="s">
        <v>9</v>
      </c>
      <c r="D5" s="2" t="s">
        <v>23</v>
      </c>
      <c r="E5" s="2" t="s">
        <v>33</v>
      </c>
      <c r="F5" s="3">
        <v>18500</v>
      </c>
    </row>
    <row r="6" spans="2:6">
      <c r="B6" s="4">
        <v>46297</v>
      </c>
      <c r="C6" s="2" t="s">
        <v>12</v>
      </c>
      <c r="D6" s="2" t="s">
        <v>24</v>
      </c>
      <c r="E6" s="2" t="s">
        <v>33</v>
      </c>
      <c r="F6" s="3">
        <v>12000</v>
      </c>
    </row>
    <row r="7" spans="2:6">
      <c r="B7" s="4">
        <v>46298</v>
      </c>
      <c r="C7" s="2" t="s">
        <v>13</v>
      </c>
      <c r="D7" s="2" t="s">
        <v>25</v>
      </c>
      <c r="E7" s="2" t="s">
        <v>32</v>
      </c>
      <c r="F7" s="3">
        <v>35000</v>
      </c>
    </row>
    <row r="8" spans="2:6">
      <c r="B8" s="4">
        <v>46298</v>
      </c>
      <c r="C8" s="2" t="s">
        <v>14</v>
      </c>
      <c r="D8" s="2" t="s">
        <v>26</v>
      </c>
      <c r="E8" s="2" t="s">
        <v>32</v>
      </c>
      <c r="F8" s="3">
        <v>45000</v>
      </c>
    </row>
    <row r="9" spans="2:6">
      <c r="B9" s="4">
        <v>46299</v>
      </c>
      <c r="C9" s="2" t="s">
        <v>11</v>
      </c>
      <c r="D9" s="2" t="s">
        <v>27</v>
      </c>
      <c r="E9" s="2" t="s">
        <v>32</v>
      </c>
      <c r="F9" s="3">
        <v>42000</v>
      </c>
    </row>
    <row r="10" spans="2:6">
      <c r="B10" s="4">
        <v>46299</v>
      </c>
      <c r="C10" s="2" t="s">
        <v>10</v>
      </c>
      <c r="D10" s="2" t="s">
        <v>28</v>
      </c>
      <c r="E10" s="2" t="s">
        <v>32</v>
      </c>
      <c r="F10" s="3">
        <v>65000</v>
      </c>
    </row>
    <row r="11" spans="2:6">
      <c r="B11" s="4">
        <v>46300</v>
      </c>
      <c r="C11" s="2" t="s">
        <v>21</v>
      </c>
      <c r="D11" s="2" t="s">
        <v>29</v>
      </c>
      <c r="E11" s="2" t="s">
        <v>34</v>
      </c>
      <c r="F11" s="3">
        <v>85000</v>
      </c>
    </row>
    <row r="12" spans="2:6">
      <c r="B12" s="4">
        <v>46300</v>
      </c>
      <c r="C12" s="2" t="s">
        <v>8</v>
      </c>
      <c r="D12" s="2" t="s">
        <v>30</v>
      </c>
      <c r="E12" s="2" t="s">
        <v>34</v>
      </c>
      <c r="F12" s="3">
        <v>45000</v>
      </c>
    </row>
    <row r="13" spans="2:6">
      <c r="B13" s="4">
        <v>46301</v>
      </c>
      <c r="C13" s="2" t="s">
        <v>11</v>
      </c>
      <c r="D13" s="2" t="s">
        <v>31</v>
      </c>
      <c r="E13" s="2" t="s">
        <v>33</v>
      </c>
      <c r="F13" s="3">
        <v>32000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6D869-03D0-46B2-B805-09C27758B4E4}">
  <dimension ref="B3:C9"/>
  <sheetViews>
    <sheetView topLeftCell="A2" workbookViewId="0">
      <selection activeCell="E7" sqref="E7"/>
    </sheetView>
  </sheetViews>
  <sheetFormatPr baseColWidth="10" defaultRowHeight="14.4"/>
  <cols>
    <col min="2" max="2" width="14.109375" bestFit="1" customWidth="1"/>
    <col min="3" max="3" width="45.77734375" customWidth="1"/>
  </cols>
  <sheetData>
    <row r="3" spans="2:3">
      <c r="B3" s="6" t="s">
        <v>37</v>
      </c>
      <c r="C3" s="7" t="s">
        <v>40</v>
      </c>
    </row>
    <row r="4" spans="2:3" ht="43.2">
      <c r="B4" s="6" t="s">
        <v>38</v>
      </c>
      <c r="C4" s="7" t="s">
        <v>41</v>
      </c>
    </row>
    <row r="5" spans="2:3" ht="43.2">
      <c r="B5" s="6" t="s">
        <v>39</v>
      </c>
      <c r="C5" s="7" t="s">
        <v>42</v>
      </c>
    </row>
    <row r="6" spans="2:3" ht="57.6" customHeight="1">
      <c r="B6" s="12" t="s">
        <v>43</v>
      </c>
      <c r="C6" s="7" t="s">
        <v>48</v>
      </c>
    </row>
    <row r="7" spans="2:3" ht="43.2">
      <c r="B7" s="12"/>
      <c r="C7" s="7" t="s">
        <v>44</v>
      </c>
    </row>
    <row r="8" spans="2:3" ht="43.2">
      <c r="B8" s="12" t="s">
        <v>45</v>
      </c>
      <c r="C8" s="7" t="s">
        <v>46</v>
      </c>
    </row>
    <row r="9" spans="2:3" ht="57.6">
      <c r="B9" s="12"/>
      <c r="C9" s="7" t="s">
        <v>47</v>
      </c>
    </row>
  </sheetData>
  <mergeCells count="2">
    <mergeCell ref="B6:B7"/>
    <mergeCell ref="B8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7F71-4730-4F88-95A7-0BCABB40E88A}">
  <dimension ref="A1:D10"/>
  <sheetViews>
    <sheetView tabSelected="1" zoomScale="90" zoomScaleNormal="90" workbookViewId="0">
      <selection activeCell="I15" sqref="I15"/>
    </sheetView>
  </sheetViews>
  <sheetFormatPr baseColWidth="10" defaultRowHeight="14.4"/>
  <cols>
    <col min="1" max="1" width="18.44140625" customWidth="1"/>
    <col min="2" max="2" width="16.109375" customWidth="1"/>
    <col min="3" max="3" width="13.109375" customWidth="1"/>
    <col min="4" max="4" width="16.109375" customWidth="1"/>
  </cols>
  <sheetData>
    <row r="1" spans="1:4" ht="27.6">
      <c r="A1" s="8" t="s">
        <v>49</v>
      </c>
      <c r="B1" s="8" t="s">
        <v>50</v>
      </c>
      <c r="C1" s="8" t="s">
        <v>35</v>
      </c>
      <c r="D1" s="8" t="s">
        <v>51</v>
      </c>
    </row>
    <row r="2" spans="1:4">
      <c r="A2" s="10" t="s">
        <v>21</v>
      </c>
      <c r="B2" s="9">
        <v>85000</v>
      </c>
      <c r="C2" s="9">
        <v>85000</v>
      </c>
      <c r="D2" s="10" t="s">
        <v>52</v>
      </c>
    </row>
    <row r="3" spans="1:4">
      <c r="A3" s="10" t="s">
        <v>8</v>
      </c>
      <c r="B3" s="9">
        <v>45000</v>
      </c>
      <c r="C3" s="9">
        <v>45000</v>
      </c>
      <c r="D3" s="10" t="s">
        <v>52</v>
      </c>
    </row>
    <row r="4" spans="1:4">
      <c r="A4" s="10" t="s">
        <v>9</v>
      </c>
      <c r="B4" s="9">
        <v>150000</v>
      </c>
      <c r="C4" s="9">
        <v>18500</v>
      </c>
      <c r="D4" s="10" t="s">
        <v>53</v>
      </c>
    </row>
    <row r="5" spans="1:4">
      <c r="A5" s="10" t="s">
        <v>10</v>
      </c>
      <c r="B5" s="9">
        <v>400000</v>
      </c>
      <c r="C5" s="9">
        <v>190000</v>
      </c>
      <c r="D5" s="10" t="s">
        <v>54</v>
      </c>
    </row>
    <row r="6" spans="1:4" ht="27.6">
      <c r="A6" s="10" t="s">
        <v>11</v>
      </c>
      <c r="B6" s="9">
        <v>200000</v>
      </c>
      <c r="C6" s="9">
        <v>74000</v>
      </c>
      <c r="D6" s="10" t="s">
        <v>54</v>
      </c>
    </row>
    <row r="7" spans="1:4" ht="27.6">
      <c r="A7" s="10" t="s">
        <v>55</v>
      </c>
      <c r="B7" s="9">
        <v>80000</v>
      </c>
      <c r="C7" s="9">
        <v>12000</v>
      </c>
      <c r="D7" s="10" t="s">
        <v>54</v>
      </c>
    </row>
    <row r="8" spans="1:4">
      <c r="A8" s="10" t="s">
        <v>13</v>
      </c>
      <c r="B8" s="9">
        <v>100000</v>
      </c>
      <c r="C8" s="9">
        <v>35000</v>
      </c>
      <c r="D8" s="10" t="s">
        <v>54</v>
      </c>
    </row>
    <row r="9" spans="1:4">
      <c r="A9" s="10" t="s">
        <v>56</v>
      </c>
      <c r="B9" s="9">
        <v>100000</v>
      </c>
      <c r="C9" s="9">
        <v>45000</v>
      </c>
      <c r="D9" s="10" t="s">
        <v>54</v>
      </c>
    </row>
    <row r="10" spans="1:4">
      <c r="A10" s="8" t="s">
        <v>57</v>
      </c>
      <c r="B10" s="11">
        <f>SUM(B2:B9)</f>
        <v>1160000</v>
      </c>
      <c r="C10" s="11">
        <f>SUM(C2:C9)</f>
        <v>504500</v>
      </c>
      <c r="D10" s="8" t="s">
        <v>58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Gastos</vt:lpstr>
      <vt:lpstr>Documentación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Dueñas peña</dc:creator>
  <cp:lastModifiedBy>Andres Dueñas peña</cp:lastModifiedBy>
  <dcterms:created xsi:type="dcterms:W3CDTF">2026-10-06T19:32:14Z</dcterms:created>
  <dcterms:modified xsi:type="dcterms:W3CDTF">2026-10-06T23:26:32Z</dcterms:modified>
</cp:coreProperties>
</file>